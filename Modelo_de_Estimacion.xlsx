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genieria de sistemas\Semestre 7\Ingenieria de software y requerimientos\Sistema_de_trasporte\"/>
    </mc:Choice>
  </mc:AlternateContent>
  <xr:revisionPtr revIDLastSave="0" documentId="13_ncr:1_{90D026EE-F8B4-4B8A-8FBC-F9986710CC04}" xr6:coauthVersionLast="45" xr6:coauthVersionMax="45" xr10:uidLastSave="{00000000-0000-0000-0000-000000000000}"/>
  <bookViews>
    <workbookView xWindow="-108" yWindow="-108" windowWidth="23256" windowHeight="12576" xr2:uid="{62FADA92-7EC1-4AC9-9082-A929FFBB323A}"/>
  </bookViews>
  <sheets>
    <sheet name="MODELO ESTIMACION" sheetId="1" r:id="rId1"/>
    <sheet name="Hoja1" sheetId="2" r:id="rId2"/>
    <sheet name="Hoja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3" i="1" l="1"/>
  <c r="K39" i="1"/>
  <c r="K33" i="1"/>
  <c r="K27" i="1"/>
  <c r="K20" i="1"/>
  <c r="K19" i="1"/>
  <c r="K15" i="1"/>
  <c r="K11" i="1"/>
  <c r="K5" i="1"/>
  <c r="N39" i="1"/>
  <c r="N37" i="1"/>
  <c r="N32" i="1"/>
  <c r="N29" i="1"/>
  <c r="N28" i="1"/>
  <c r="N27" i="1"/>
  <c r="N26" i="1"/>
  <c r="N24" i="1"/>
  <c r="N20" i="1"/>
  <c r="N19" i="1"/>
  <c r="N16" i="1"/>
  <c r="N15" i="1"/>
  <c r="N13" i="1"/>
  <c r="L44" i="1"/>
  <c r="L36" i="1"/>
  <c r="L33" i="1"/>
  <c r="L32" i="1"/>
  <c r="L28" i="1"/>
  <c r="L27" i="1"/>
  <c r="L24" i="1"/>
  <c r="L20" i="1"/>
  <c r="L19" i="1"/>
  <c r="L17" i="1"/>
  <c r="L16" i="1"/>
  <c r="L15" i="1"/>
  <c r="M43" i="1"/>
  <c r="M39" i="1"/>
  <c r="M37" i="1"/>
  <c r="M36" i="1"/>
  <c r="M33" i="1"/>
  <c r="M32" i="1"/>
  <c r="M31" i="1"/>
  <c r="M29" i="1"/>
  <c r="M28" i="1"/>
  <c r="M27" i="1"/>
  <c r="M26" i="1"/>
  <c r="M20" i="1"/>
  <c r="M19" i="1"/>
  <c r="M18" i="1"/>
  <c r="M17" i="1"/>
  <c r="M15" i="1"/>
  <c r="M13" i="1"/>
  <c r="M11" i="1"/>
  <c r="M5" i="1"/>
  <c r="J47" i="1"/>
  <c r="N47" i="1" s="1"/>
  <c r="J46" i="1"/>
  <c r="K46" i="1" s="1"/>
  <c r="J45" i="1"/>
  <c r="K45" i="1" s="1"/>
  <c r="J44" i="1"/>
  <c r="K44" i="1" s="1"/>
  <c r="J43" i="1"/>
  <c r="N43" i="1" s="1"/>
  <c r="J42" i="1"/>
  <c r="N42" i="1" s="1"/>
  <c r="J41" i="1"/>
  <c r="K41" i="1" s="1"/>
  <c r="J40" i="1"/>
  <c r="L40" i="1" s="1"/>
  <c r="J39" i="1"/>
  <c r="L39" i="1" s="1"/>
  <c r="J38" i="1"/>
  <c r="L38" i="1" s="1"/>
  <c r="J37" i="1"/>
  <c r="K37" i="1" s="1"/>
  <c r="J36" i="1"/>
  <c r="N36" i="1" s="1"/>
  <c r="J35" i="1"/>
  <c r="N35" i="1" s="1"/>
  <c r="J34" i="1"/>
  <c r="N34" i="1" s="1"/>
  <c r="J33" i="1"/>
  <c r="N33" i="1" s="1"/>
  <c r="J32" i="1"/>
  <c r="K32" i="1" s="1"/>
  <c r="J31" i="1"/>
  <c r="K31" i="1" s="1"/>
  <c r="J30" i="1"/>
  <c r="N30" i="1" s="1"/>
  <c r="J29" i="1"/>
  <c r="L29" i="1" s="1"/>
  <c r="J28" i="1"/>
  <c r="K28" i="1" s="1"/>
  <c r="J27" i="1"/>
  <c r="J26" i="1"/>
  <c r="L26" i="1" s="1"/>
  <c r="J25" i="1"/>
  <c r="N25" i="1" s="1"/>
  <c r="J24" i="1"/>
  <c r="M24" i="1" s="1"/>
  <c r="J23" i="1"/>
  <c r="M23" i="1" s="1"/>
  <c r="J22" i="1"/>
  <c r="N22" i="1" s="1"/>
  <c r="J21" i="1"/>
  <c r="K21" i="1" s="1"/>
  <c r="J20" i="1"/>
  <c r="J19" i="1"/>
  <c r="J18" i="1"/>
  <c r="K18" i="1" s="1"/>
  <c r="J17" i="1"/>
  <c r="K17" i="1" s="1"/>
  <c r="J16" i="1"/>
  <c r="M16" i="1" s="1"/>
  <c r="J15" i="1"/>
  <c r="J14" i="1"/>
  <c r="M14" i="1" s="1"/>
  <c r="J13" i="1"/>
  <c r="K13" i="1" s="1"/>
  <c r="J12" i="1"/>
  <c r="N12" i="1" s="1"/>
  <c r="J11" i="1"/>
  <c r="L11" i="1" s="1"/>
  <c r="J10" i="1"/>
  <c r="M10" i="1" s="1"/>
  <c r="K47" i="1" l="1"/>
  <c r="M47" i="1"/>
  <c r="L47" i="1"/>
  <c r="N46" i="1"/>
  <c r="L46" i="1"/>
  <c r="M46" i="1"/>
  <c r="L45" i="1"/>
  <c r="N45" i="1"/>
  <c r="M45" i="1"/>
  <c r="N44" i="1"/>
  <c r="M44" i="1"/>
  <c r="L43" i="1"/>
  <c r="M42" i="1"/>
  <c r="L42" i="1"/>
  <c r="K42" i="1"/>
  <c r="N41" i="1"/>
  <c r="M41" i="1"/>
  <c r="L41" i="1"/>
  <c r="M40" i="1"/>
  <c r="N40" i="1"/>
  <c r="K40" i="1"/>
  <c r="M38" i="1"/>
  <c r="N38" i="1"/>
  <c r="K38" i="1"/>
  <c r="L37" i="1"/>
  <c r="K36" i="1"/>
  <c r="K35" i="1"/>
  <c r="L35" i="1"/>
  <c r="M35" i="1"/>
  <c r="K34" i="1"/>
  <c r="M34" i="1"/>
  <c r="L34" i="1"/>
  <c r="N31" i="1"/>
  <c r="L31" i="1"/>
  <c r="K30" i="1"/>
  <c r="M30" i="1"/>
  <c r="L30" i="1"/>
  <c r="K29" i="1"/>
  <c r="K26" i="1"/>
  <c r="K25" i="1"/>
  <c r="M25" i="1"/>
  <c r="L25" i="1"/>
  <c r="K24" i="1"/>
  <c r="K23" i="1"/>
  <c r="L23" i="1"/>
  <c r="N23" i="1"/>
  <c r="K22" i="1"/>
  <c r="L22" i="1"/>
  <c r="M22" i="1"/>
  <c r="M21" i="1"/>
  <c r="L21" i="1"/>
  <c r="N21" i="1"/>
  <c r="L18" i="1"/>
  <c r="N18" i="1"/>
  <c r="N17" i="1"/>
  <c r="K16" i="1"/>
  <c r="L14" i="1"/>
  <c r="N14" i="1"/>
  <c r="K14" i="1"/>
  <c r="L13" i="1"/>
  <c r="L12" i="1"/>
  <c r="K12" i="1"/>
  <c r="M12" i="1"/>
  <c r="N11" i="1"/>
  <c r="K10" i="1"/>
  <c r="N10" i="1"/>
  <c r="L10" i="1"/>
  <c r="J9" i="1"/>
  <c r="J8" i="1"/>
  <c r="J7" i="1"/>
  <c r="J4" i="1"/>
  <c r="J5" i="1"/>
  <c r="J6" i="1"/>
  <c r="S4" i="1"/>
  <c r="S5" i="1" s="1"/>
  <c r="S6" i="1" s="1"/>
  <c r="R5" i="1"/>
  <c r="R6" i="1" s="1"/>
  <c r="Q5" i="1"/>
  <c r="Q6" i="1" s="1"/>
  <c r="W2" i="1"/>
  <c r="W3" i="1"/>
  <c r="T4" i="1"/>
  <c r="U4" i="1"/>
  <c r="U2" i="1"/>
  <c r="T2" i="1"/>
  <c r="T5" i="1" s="1"/>
  <c r="T6" i="1" s="1"/>
  <c r="V2" i="1"/>
  <c r="V4" i="1"/>
  <c r="X3" i="1"/>
  <c r="X4" i="1"/>
  <c r="X2" i="1"/>
  <c r="M9" i="1" l="1"/>
  <c r="N9" i="1"/>
  <c r="K9" i="1"/>
  <c r="M8" i="1"/>
  <c r="K8" i="1"/>
  <c r="K7" i="1"/>
  <c r="M7" i="1"/>
  <c r="M6" i="1"/>
  <c r="K6" i="1"/>
  <c r="M4" i="1"/>
  <c r="K4" i="1"/>
  <c r="U5" i="1"/>
  <c r="U6" i="1" s="1"/>
  <c r="L7" i="1"/>
  <c r="L8" i="1"/>
  <c r="L9" i="1"/>
  <c r="V5" i="1"/>
  <c r="V6" i="1" s="1"/>
  <c r="W5" i="1"/>
  <c r="W6" i="1" s="1"/>
  <c r="N6" i="1"/>
  <c r="L6" i="1"/>
  <c r="N5" i="1"/>
  <c r="L5" i="1"/>
  <c r="N4" i="1"/>
  <c r="L4" i="1"/>
  <c r="N7" i="1"/>
  <c r="N8" i="1"/>
  <c r="J3" i="1"/>
  <c r="J2" i="1"/>
  <c r="M3" i="1" l="1"/>
  <c r="K3" i="1"/>
  <c r="N2" i="1"/>
  <c r="L2" i="1"/>
  <c r="M2" i="1"/>
  <c r="K2" i="1"/>
  <c r="N3" i="1"/>
  <c r="L3" i="1"/>
  <c r="N48" i="1" l="1"/>
  <c r="N49" i="1" s="1"/>
  <c r="L48" i="1"/>
  <c r="L49" i="1" s="1"/>
  <c r="N50" i="1" l="1"/>
</calcChain>
</file>

<file path=xl/sharedStrings.xml><?xml version="1.0" encoding="utf-8"?>
<sst xmlns="http://schemas.openxmlformats.org/spreadsheetml/2006/main" count="272" uniqueCount="145">
  <si>
    <t>TIPO APLICACIÓN</t>
  </si>
  <si>
    <t>Alcance</t>
  </si>
  <si>
    <t>CAPAS</t>
  </si>
  <si>
    <t>Tipo Elemento</t>
  </si>
  <si>
    <t>Elemento</t>
  </si>
  <si>
    <t>Esfuerzo HH x Und</t>
  </si>
  <si>
    <t>PERFIL PRO</t>
  </si>
  <si>
    <t>PROYECTO COOPETRANS</t>
  </si>
  <si>
    <t>Ref Requerimientos</t>
  </si>
  <si>
    <t>TOTAL HH Esfuerzo</t>
  </si>
  <si>
    <t>Dias HH Calendario - Fabrica Clasica</t>
  </si>
  <si>
    <t>COSTO Fabrica Clasica</t>
  </si>
  <si>
    <t>Dias HH Fabrica Continuas</t>
  </si>
  <si>
    <t>COSTO Fabrica Continua THH</t>
  </si>
  <si>
    <t>COSTO X H (COL)</t>
  </si>
  <si>
    <t>COSTO X H (INDIA)</t>
  </si>
  <si>
    <t>COSTO X H (BRA)</t>
  </si>
  <si>
    <t>COSTO X H (South AFRICA)</t>
  </si>
  <si>
    <t>COSTO X H (AFRICA Meridional)</t>
  </si>
  <si>
    <t>COSTO X H EUROPA</t>
  </si>
  <si>
    <t>COSTO X H ASIA</t>
  </si>
  <si>
    <t>Regla de 3</t>
  </si>
  <si>
    <t>WEB</t>
  </si>
  <si>
    <t>Usuario Final</t>
  </si>
  <si>
    <t>FRONT-END</t>
  </si>
  <si>
    <t>Presentacion</t>
  </si>
  <si>
    <t>Look and Feel (CSS, JS, HTML, WIDGETS)</t>
  </si>
  <si>
    <t>Ing Multimedia</t>
  </si>
  <si>
    <t>Interfaz de Usuario</t>
  </si>
  <si>
    <t>Parrilla de Opciones</t>
  </si>
  <si>
    <t>Ing Sistemas</t>
  </si>
  <si>
    <t>Captura de Informacion</t>
  </si>
  <si>
    <t>Tecnologo de Sistemas</t>
  </si>
  <si>
    <t>Bandejas de Gestion</t>
  </si>
  <si>
    <t>COSTO TOTAL</t>
  </si>
  <si>
    <t>Lanzamiento de Procesos</t>
  </si>
  <si>
    <t>Cifra Universal 1.68</t>
  </si>
  <si>
    <t>Consulta de Informacion</t>
  </si>
  <si>
    <t>20 dias</t>
  </si>
  <si>
    <t>25 dias</t>
  </si>
  <si>
    <t>28 dias</t>
  </si>
  <si>
    <t>Dialogo Transaccional</t>
  </si>
  <si>
    <t>CHINO Mandarin</t>
  </si>
  <si>
    <t>8 Horas</t>
  </si>
  <si>
    <t>7 horas</t>
  </si>
  <si>
    <t>10 horas</t>
  </si>
  <si>
    <t>Dialogo de Validacion</t>
  </si>
  <si>
    <t>CHINO Cantones</t>
  </si>
  <si>
    <t>Sistemas de Terceros</t>
  </si>
  <si>
    <t>INTEGRACION</t>
  </si>
  <si>
    <t>Notificaciones</t>
  </si>
  <si>
    <t>Mensajeria SMS</t>
  </si>
  <si>
    <t>Español</t>
  </si>
  <si>
    <t>Mensajeria Email</t>
  </si>
  <si>
    <t>Ingles</t>
  </si>
  <si>
    <t>INGLES</t>
  </si>
  <si>
    <t>Comunicación Telefonica</t>
  </si>
  <si>
    <t>Portugues</t>
  </si>
  <si>
    <t>Flujos de Informacion</t>
  </si>
  <si>
    <t>Enviar Archivos</t>
  </si>
  <si>
    <t>Frances</t>
  </si>
  <si>
    <t>Recibir Archivos</t>
  </si>
  <si>
    <t>Integracion Dispositivos</t>
  </si>
  <si>
    <t>Usar Dispositivos del movil - API Camara, Audio, GPS</t>
  </si>
  <si>
    <t>Transaccional</t>
  </si>
  <si>
    <t>Llamar una API</t>
  </si>
  <si>
    <t>Exponer una API</t>
  </si>
  <si>
    <t>Consumir un Servicio</t>
  </si>
  <si>
    <t>Exponer un Servicio</t>
  </si>
  <si>
    <t>Interfaz Estandar</t>
  </si>
  <si>
    <t>Logica de Negocio</t>
  </si>
  <si>
    <t>BACK-END</t>
  </si>
  <si>
    <t>Funcionalidades</t>
  </si>
  <si>
    <t>Programa o Algoritmo</t>
  </si>
  <si>
    <t>Funciones Recursivas</t>
  </si>
  <si>
    <t>Clases</t>
  </si>
  <si>
    <t>Rutinas de Scritps</t>
  </si>
  <si>
    <t>Mapeo de Informacion (Tablas)</t>
  </si>
  <si>
    <t>DML</t>
  </si>
  <si>
    <t>Procedimientos Almacenados</t>
  </si>
  <si>
    <t>Funciones de Manipulacion de Datos</t>
  </si>
  <si>
    <t>Informacion</t>
  </si>
  <si>
    <t>PERSISTENCIA</t>
  </si>
  <si>
    <t>DDL</t>
  </si>
  <si>
    <t>Bases de Datos</t>
  </si>
  <si>
    <t>Tablas</t>
  </si>
  <si>
    <t>Archivos</t>
  </si>
  <si>
    <t>Dominios de Objetos</t>
  </si>
  <si>
    <t>Roles</t>
  </si>
  <si>
    <t>Drivers</t>
  </si>
  <si>
    <t>Ejecucion de Procesos</t>
  </si>
  <si>
    <t>INFRAESTRUCTURA</t>
  </si>
  <si>
    <t>Servidores</t>
  </si>
  <si>
    <t>Servidor de Aplicaciones</t>
  </si>
  <si>
    <t>Servidor de Base de Datos</t>
  </si>
  <si>
    <t>Servidor de Proxy</t>
  </si>
  <si>
    <t>Servidor de Ejecucion de Procesos Batch</t>
  </si>
  <si>
    <t>Servicio</t>
  </si>
  <si>
    <t>Nube</t>
  </si>
  <si>
    <t>Comunicación TI</t>
  </si>
  <si>
    <t>NETWORKING</t>
  </si>
  <si>
    <t>Seguridad</t>
  </si>
  <si>
    <t>Firewall</t>
  </si>
  <si>
    <t>Certificados de Seguridad</t>
  </si>
  <si>
    <t>Protocolos de Comunicación</t>
  </si>
  <si>
    <t>Redes</t>
  </si>
  <si>
    <t>DSL de Internet</t>
  </si>
  <si>
    <t>Planeacion</t>
  </si>
  <si>
    <t>*DEFINICION</t>
  </si>
  <si>
    <t>Diseños</t>
  </si>
  <si>
    <t>Arquitectura</t>
  </si>
  <si>
    <t>Prototipos</t>
  </si>
  <si>
    <t>Modelo Entidad Relacion</t>
  </si>
  <si>
    <t>Plan de Implementacion</t>
  </si>
  <si>
    <t>Gestion y Planeacion del Proyecto</t>
  </si>
  <si>
    <t>Cod Requerimiento</t>
  </si>
  <si>
    <t>Descripcion del Requerimiento</t>
  </si>
  <si>
    <t>TOTAL</t>
  </si>
  <si>
    <t>szfasdfasdfasdf</t>
  </si>
  <si>
    <t>H1,H2,H3,…,H29</t>
  </si>
  <si>
    <t>H1, H3,  H8, H9, H15, H25, H26</t>
  </si>
  <si>
    <t>H6,H9,H10,H23</t>
  </si>
  <si>
    <t>H2,H4,H5,H7</t>
  </si>
  <si>
    <t>H3,H8,H9,H11,H13,H17,H24</t>
  </si>
  <si>
    <t>INCREMENTO DEL 68%</t>
  </si>
  <si>
    <t>H6,H9,H13,10,H2</t>
  </si>
  <si>
    <t>H12,H29,H16,H22</t>
  </si>
  <si>
    <t>H10,H13,14,H27,H29</t>
  </si>
  <si>
    <t>H3,H16,H18,H19,H20</t>
  </si>
  <si>
    <t>H14,H18</t>
  </si>
  <si>
    <t>H4,H24,H19,H22,H27</t>
  </si>
  <si>
    <t>H28,H12</t>
  </si>
  <si>
    <t>H1,H2,H15,H20,H24</t>
  </si>
  <si>
    <t>H9,H16,H18,H26</t>
  </si>
  <si>
    <t>H13,H19,H23</t>
  </si>
  <si>
    <t>H6,H8,H9,H12,H16,H22</t>
  </si>
  <si>
    <t>H12,H15</t>
  </si>
  <si>
    <t>H12,H29</t>
  </si>
  <si>
    <t>H1,H21,H22,26</t>
  </si>
  <si>
    <t>H10,H15,H17,H20</t>
  </si>
  <si>
    <t>H29</t>
  </si>
  <si>
    <t>H10,H28,H19</t>
  </si>
  <si>
    <t>H11,H22,H23,H26</t>
  </si>
  <si>
    <t>H1,H13,H17,H27</t>
  </si>
  <si>
    <t>H27,H29,H1,H10,H24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</si>
</sst>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1" fillId="2" borderId="0" xfId="1"/>
    <xf numFmtId="0" fontId="1" fillId="3" borderId="0" xfId="2"/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44" fontId="0" fillId="0" borderId="0" xfId="3" applyFont="1"/>
    <xf numFmtId="0" fontId="0" fillId="4" borderId="0" xfId="0" applyFill="1"/>
    <xf numFmtId="0" fontId="1" fillId="4" borderId="0" xfId="1" applyFill="1"/>
    <xf numFmtId="9" fontId="0" fillId="0" borderId="0" xfId="4" applyFont="1"/>
    <xf numFmtId="44" fontId="0" fillId="0" borderId="0" xfId="0" applyNumberFormat="1"/>
    <xf numFmtId="0" fontId="0" fillId="5" borderId="0" xfId="0" applyFill="1"/>
    <xf numFmtId="2" fontId="0" fillId="0" borderId="0" xfId="0" applyNumberFormat="1"/>
    <xf numFmtId="0" fontId="3" fillId="0" borderId="0" xfId="0" applyFont="1"/>
    <xf numFmtId="0" fontId="0" fillId="0" borderId="1" xfId="0" applyBorder="1"/>
    <xf numFmtId="0" fontId="3" fillId="0" borderId="1" xfId="0" applyFont="1" applyBorder="1"/>
    <xf numFmtId="44" fontId="0" fillId="0" borderId="1" xfId="3" applyFont="1" applyBorder="1"/>
    <xf numFmtId="2" fontId="0" fillId="0" borderId="1" xfId="0" applyNumberFormat="1" applyBorder="1"/>
    <xf numFmtId="44" fontId="0" fillId="5" borderId="0" xfId="0" applyNumberFormat="1" applyFill="1"/>
    <xf numFmtId="44" fontId="2" fillId="0" borderId="0" xfId="3" applyFont="1"/>
    <xf numFmtId="0" fontId="0" fillId="4" borderId="0" xfId="0" applyFont="1" applyFill="1"/>
  </cellXfs>
  <cellStyles count="5">
    <cellStyle name="Énfasis1" xfId="1" builtinId="29"/>
    <cellStyle name="Énfasis2" xfId="2" builtinId="33"/>
    <cellStyle name="Moneda" xfId="3" builtinId="4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9CD18-48B0-4D53-ADD5-55E7744E5841}">
  <dimension ref="A1:X51"/>
  <sheetViews>
    <sheetView tabSelected="1" topLeftCell="G22" workbookViewId="0">
      <selection activeCell="I45" sqref="I45"/>
    </sheetView>
  </sheetViews>
  <sheetFormatPr baseColWidth="10" defaultColWidth="11.44140625" defaultRowHeight="14.4" x14ac:dyDescent="0.3"/>
  <cols>
    <col min="1" max="1" width="16.5546875" bestFit="1" customWidth="1"/>
    <col min="2" max="2" width="19.6640625" bestFit="1" customWidth="1"/>
    <col min="3" max="4" width="17.88671875" bestFit="1" customWidth="1"/>
    <col min="5" max="5" width="43.88671875" bestFit="1" customWidth="1"/>
    <col min="6" max="6" width="16.109375" style="3" bestFit="1" customWidth="1"/>
    <col min="7" max="7" width="19.6640625" bestFit="1" customWidth="1"/>
    <col min="8" max="8" width="21.77734375" bestFit="1" customWidth="1"/>
    <col min="9" max="9" width="18.88671875" bestFit="1" customWidth="1"/>
    <col min="10" max="10" width="17.6640625" bestFit="1" customWidth="1"/>
    <col min="11" max="11" width="32.5546875" bestFit="1" customWidth="1"/>
    <col min="12" max="12" width="32.5546875" customWidth="1"/>
    <col min="13" max="13" width="24" bestFit="1" customWidth="1"/>
    <col min="14" max="14" width="26.5546875" bestFit="1" customWidth="1"/>
    <col min="16" max="16" width="21.44140625" bestFit="1" customWidth="1"/>
    <col min="17" max="17" width="15.5546875" bestFit="1" customWidth="1"/>
    <col min="18" max="18" width="17.44140625" bestFit="1" customWidth="1"/>
    <col min="19" max="19" width="15.6640625" bestFit="1" customWidth="1"/>
    <col min="20" max="20" width="24.44140625" bestFit="1" customWidth="1"/>
    <col min="21" max="21" width="29.109375" bestFit="1" customWidth="1"/>
    <col min="22" max="22" width="18.109375" bestFit="1" customWidth="1"/>
    <col min="23" max="23" width="15.55468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6" t="s">
        <v>10</v>
      </c>
      <c r="L1" s="10" t="s">
        <v>11</v>
      </c>
      <c r="M1" s="19" t="s">
        <v>12</v>
      </c>
      <c r="N1" s="10" t="s">
        <v>13</v>
      </c>
      <c r="P1" s="1" t="s">
        <v>6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7" t="s">
        <v>21</v>
      </c>
    </row>
    <row r="2" spans="1:24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s="12">
        <v>8</v>
      </c>
      <c r="G2" t="s">
        <v>27</v>
      </c>
      <c r="H2">
        <v>16</v>
      </c>
      <c r="I2" t="s">
        <v>119</v>
      </c>
      <c r="J2">
        <f>H2*F2</f>
        <v>128</v>
      </c>
      <c r="K2">
        <f>J2/8</f>
        <v>16</v>
      </c>
      <c r="L2" s="5">
        <f>VLOOKUP(G2,$P$2:$W$4,2,FALSE)*J2</f>
        <v>1177600</v>
      </c>
      <c r="M2" s="11">
        <f>J2/24</f>
        <v>5.333333333333333</v>
      </c>
      <c r="N2" s="18">
        <f>(VLOOKUP(G2,$P$2:$W$4,2,FALSE)*(J2/3))+(VLOOKUP(G2,$P$2:$W$4,3,FALSE)*(J2/3))+(VLOOKUP(G2,$P$2:$W$4,5,FALSE)*(J2/3))</f>
        <v>895731.5904139434</v>
      </c>
      <c r="P2" t="s">
        <v>27</v>
      </c>
      <c r="Q2" s="5">
        <v>9200</v>
      </c>
      <c r="R2" s="5">
        <v>6532.9444444444453</v>
      </c>
      <c r="S2" s="5">
        <v>14556</v>
      </c>
      <c r="T2" s="9">
        <f>(T3/51)*27</f>
        <v>5260.7647058823532</v>
      </c>
      <c r="U2" s="9">
        <f>(U3/51)*27</f>
        <v>8443.5882352941189</v>
      </c>
      <c r="V2" s="9">
        <f>(V3/51)*27</f>
        <v>29647.058823529413</v>
      </c>
      <c r="W2" s="5">
        <f>(W4/21)*27</f>
        <v>17236.383428571429</v>
      </c>
      <c r="X2" s="8">
        <f>Q2/(SUM(Q$2:Q$4))</f>
        <v>0.27467606138412848</v>
      </c>
    </row>
    <row r="3" spans="1:24" x14ac:dyDescent="0.3">
      <c r="D3" t="s">
        <v>28</v>
      </c>
      <c r="E3" t="s">
        <v>29</v>
      </c>
      <c r="F3" s="12">
        <v>4</v>
      </c>
      <c r="G3" t="s">
        <v>30</v>
      </c>
      <c r="H3">
        <v>8</v>
      </c>
      <c r="I3" t="s">
        <v>120</v>
      </c>
      <c r="J3">
        <f>H3*F3</f>
        <v>32</v>
      </c>
      <c r="K3">
        <f t="shared" ref="K3:K47" si="0">J3/8</f>
        <v>4</v>
      </c>
      <c r="L3" s="5">
        <f>VLOOKUP(G3,$P$2:$W$4,2,FALSE)*J3</f>
        <v>550944</v>
      </c>
      <c r="M3" s="11">
        <f t="shared" ref="M3:M47" si="1">J3/24</f>
        <v>1.3333333333333333</v>
      </c>
      <c r="N3" s="5">
        <f t="shared" ref="N3:N8" si="2">(VLOOKUP(G3,$P$2:$W$4,2,FALSE)*(J3/3))+(VLOOKUP(G3,$P$2:$W$4,3,FALSE)*(J3/3))+(VLOOKUP(G3,$P$2:$W$4,5,FALSE)*(J3/3))</f>
        <v>406602.66666666663</v>
      </c>
      <c r="P3" t="s">
        <v>30</v>
      </c>
      <c r="Q3" s="5">
        <v>17217</v>
      </c>
      <c r="R3" s="5">
        <v>10965</v>
      </c>
      <c r="S3" s="5">
        <v>21688</v>
      </c>
      <c r="T3" s="5">
        <v>9937</v>
      </c>
      <c r="U3" s="5">
        <v>15949</v>
      </c>
      <c r="V3" s="5">
        <v>56000</v>
      </c>
      <c r="W3" s="5">
        <f>(W4/21)*51</f>
        <v>32557.613142857146</v>
      </c>
      <c r="X3" s="8">
        <f t="shared" ref="X3:X4" si="3">Q3/(SUM(Q$2:Q$4))</f>
        <v>0.51403236400549357</v>
      </c>
    </row>
    <row r="4" spans="1:24" x14ac:dyDescent="0.3">
      <c r="D4" t="s">
        <v>28</v>
      </c>
      <c r="E4" t="s">
        <v>31</v>
      </c>
      <c r="F4" s="12">
        <v>3.5</v>
      </c>
      <c r="G4" t="s">
        <v>30</v>
      </c>
      <c r="H4">
        <v>12</v>
      </c>
      <c r="I4" t="s">
        <v>121</v>
      </c>
      <c r="J4">
        <f t="shared" ref="J4:J47" si="4">H4*F4</f>
        <v>42</v>
      </c>
      <c r="K4">
        <f t="shared" si="0"/>
        <v>5.25</v>
      </c>
      <c r="L4" s="5">
        <f t="shared" ref="L4:L47" si="5">VLOOKUP(G4,$P$2:$W$4,2,FALSE)*J4</f>
        <v>723114</v>
      </c>
      <c r="M4" s="11">
        <f t="shared" si="1"/>
        <v>1.75</v>
      </c>
      <c r="N4" s="5">
        <f t="shared" si="2"/>
        <v>533666</v>
      </c>
      <c r="P4" t="s">
        <v>32</v>
      </c>
      <c r="Q4" s="5">
        <v>7077</v>
      </c>
      <c r="R4" s="5">
        <v>5834</v>
      </c>
      <c r="S4" s="5">
        <f>(S3/51)*21</f>
        <v>8930.3529411764703</v>
      </c>
      <c r="T4" s="5">
        <f>(T3/51)*21</f>
        <v>4091.705882352941</v>
      </c>
      <c r="U4" s="5">
        <f>(U3/51)*21</f>
        <v>6567.2352941176478</v>
      </c>
      <c r="V4" s="5">
        <f>(V3/51)*21</f>
        <v>23058.823529411762</v>
      </c>
      <c r="W4" s="5">
        <v>13406.076000000001</v>
      </c>
      <c r="X4" s="8">
        <f t="shared" si="3"/>
        <v>0.21129157461037798</v>
      </c>
    </row>
    <row r="5" spans="1:24" x14ac:dyDescent="0.3">
      <c r="D5" t="s">
        <v>28</v>
      </c>
      <c r="E5" t="s">
        <v>33</v>
      </c>
      <c r="F5" s="12">
        <v>2.5</v>
      </c>
      <c r="G5" t="s">
        <v>30</v>
      </c>
      <c r="H5">
        <v>10</v>
      </c>
      <c r="I5" t="s">
        <v>122</v>
      </c>
      <c r="J5">
        <f t="shared" si="4"/>
        <v>25</v>
      </c>
      <c r="K5">
        <f t="shared" si="0"/>
        <v>3.125</v>
      </c>
      <c r="L5" s="5">
        <f t="shared" si="5"/>
        <v>430425</v>
      </c>
      <c r="M5" s="11">
        <f t="shared" si="1"/>
        <v>1.0416666666666667</v>
      </c>
      <c r="N5" s="5">
        <f t="shared" si="2"/>
        <v>317658.33333333337</v>
      </c>
      <c r="P5" t="s">
        <v>34</v>
      </c>
      <c r="Q5" s="9">
        <f>SUM(Q2:Q4)</f>
        <v>33494</v>
      </c>
      <c r="R5" s="9">
        <f t="shared" ref="R5:W5" si="6">SUM(R2:R4)</f>
        <v>23331.944444444445</v>
      </c>
      <c r="S5" s="9">
        <f t="shared" si="6"/>
        <v>45174.352941176468</v>
      </c>
      <c r="T5" s="9">
        <f t="shared" si="6"/>
        <v>19289.470588235294</v>
      </c>
      <c r="U5" s="9">
        <f t="shared" si="6"/>
        <v>30959.823529411766</v>
      </c>
      <c r="V5" s="9">
        <f t="shared" si="6"/>
        <v>108705.88235294117</v>
      </c>
      <c r="W5" s="9">
        <f t="shared" si="6"/>
        <v>63200.07257142858</v>
      </c>
    </row>
    <row r="6" spans="1:24" x14ac:dyDescent="0.3">
      <c r="D6" t="s">
        <v>28</v>
      </c>
      <c r="E6" t="s">
        <v>35</v>
      </c>
      <c r="F6" s="12">
        <v>6</v>
      </c>
      <c r="G6" t="s">
        <v>30</v>
      </c>
      <c r="H6">
        <v>6</v>
      </c>
      <c r="I6" t="s">
        <v>123</v>
      </c>
      <c r="J6">
        <f t="shared" si="4"/>
        <v>36</v>
      </c>
      <c r="K6">
        <f t="shared" si="0"/>
        <v>4.5</v>
      </c>
      <c r="L6" s="5">
        <f t="shared" si="5"/>
        <v>619812</v>
      </c>
      <c r="M6" s="11">
        <f t="shared" si="1"/>
        <v>1.5</v>
      </c>
      <c r="N6" s="5">
        <f t="shared" si="2"/>
        <v>457428</v>
      </c>
      <c r="P6" t="s">
        <v>36</v>
      </c>
      <c r="Q6" s="9">
        <f>Q5*1.68</f>
        <v>56269.919999999998</v>
      </c>
      <c r="R6" s="9">
        <f t="shared" ref="R6:W6" si="7">R5*1.68</f>
        <v>39197.666666666664</v>
      </c>
      <c r="S6" s="9">
        <f t="shared" si="7"/>
        <v>75892.912941176459</v>
      </c>
      <c r="T6" s="9">
        <f t="shared" si="7"/>
        <v>32406.310588235294</v>
      </c>
      <c r="U6" s="9">
        <f t="shared" si="7"/>
        <v>52012.503529411762</v>
      </c>
      <c r="V6" s="9">
        <f t="shared" si="7"/>
        <v>182625.88235294117</v>
      </c>
      <c r="W6" s="9">
        <f t="shared" si="7"/>
        <v>106176.12192000001</v>
      </c>
    </row>
    <row r="7" spans="1:24" x14ac:dyDescent="0.3">
      <c r="D7" t="s">
        <v>28</v>
      </c>
      <c r="E7" t="s">
        <v>37</v>
      </c>
      <c r="F7" s="12">
        <v>3</v>
      </c>
      <c r="G7" t="s">
        <v>32</v>
      </c>
      <c r="H7">
        <v>10</v>
      </c>
      <c r="I7" t="s">
        <v>125</v>
      </c>
      <c r="J7">
        <f t="shared" si="4"/>
        <v>30</v>
      </c>
      <c r="K7">
        <f t="shared" si="0"/>
        <v>3.75</v>
      </c>
      <c r="L7" s="5">
        <f t="shared" si="5"/>
        <v>212310</v>
      </c>
      <c r="M7" s="11">
        <f t="shared" si="1"/>
        <v>1.25</v>
      </c>
      <c r="N7" s="5">
        <f t="shared" si="2"/>
        <v>170027.0588235294</v>
      </c>
      <c r="Q7" t="s">
        <v>38</v>
      </c>
      <c r="R7" t="s">
        <v>39</v>
      </c>
      <c r="S7" t="s">
        <v>39</v>
      </c>
      <c r="T7" t="s">
        <v>40</v>
      </c>
      <c r="U7" t="s">
        <v>39</v>
      </c>
      <c r="V7" t="s">
        <v>38</v>
      </c>
      <c r="W7" t="s">
        <v>39</v>
      </c>
    </row>
    <row r="8" spans="1:24" x14ac:dyDescent="0.3">
      <c r="D8" t="s">
        <v>28</v>
      </c>
      <c r="E8" t="s">
        <v>41</v>
      </c>
      <c r="F8" s="12">
        <v>2.5</v>
      </c>
      <c r="G8" t="s">
        <v>32</v>
      </c>
      <c r="H8">
        <v>16</v>
      </c>
      <c r="I8" t="s">
        <v>126</v>
      </c>
      <c r="J8">
        <f t="shared" si="4"/>
        <v>40</v>
      </c>
      <c r="K8">
        <f t="shared" si="0"/>
        <v>5</v>
      </c>
      <c r="L8" s="5">
        <f t="shared" si="5"/>
        <v>283080</v>
      </c>
      <c r="M8" s="11">
        <f t="shared" si="1"/>
        <v>1.6666666666666667</v>
      </c>
      <c r="N8" s="5">
        <f t="shared" si="2"/>
        <v>226702.74509803922</v>
      </c>
      <c r="P8" t="s">
        <v>42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44</v>
      </c>
      <c r="W8" t="s">
        <v>45</v>
      </c>
    </row>
    <row r="9" spans="1:24" x14ac:dyDescent="0.3">
      <c r="D9" t="s">
        <v>28</v>
      </c>
      <c r="E9" t="s">
        <v>46</v>
      </c>
      <c r="F9" s="12">
        <v>2</v>
      </c>
      <c r="G9" t="s">
        <v>32</v>
      </c>
      <c r="H9">
        <v>20</v>
      </c>
      <c r="I9" t="s">
        <v>127</v>
      </c>
      <c r="J9">
        <f t="shared" si="4"/>
        <v>40</v>
      </c>
      <c r="K9">
        <f t="shared" si="0"/>
        <v>5</v>
      </c>
      <c r="L9" s="5">
        <f t="shared" si="5"/>
        <v>283080</v>
      </c>
      <c r="M9" s="11">
        <f t="shared" si="1"/>
        <v>1.6666666666666667</v>
      </c>
      <c r="N9" s="5">
        <f>(VLOOKUP(G9,$P$2:$W$4,2,FALSE)*(J9/3))+(VLOOKUP(G9,$P$2:$W$4,3,FALSE)*(J9/3))+(VLOOKUP(G9,$P$2:$W$4,5,FALSE)*(J9/3))</f>
        <v>226702.74509803922</v>
      </c>
      <c r="P9" t="s">
        <v>47</v>
      </c>
      <c r="U9" s="9"/>
      <c r="V9" s="5"/>
    </row>
    <row r="10" spans="1:24" x14ac:dyDescent="0.3">
      <c r="B10" t="s">
        <v>48</v>
      </c>
      <c r="C10" t="s">
        <v>49</v>
      </c>
      <c r="D10" t="s">
        <v>50</v>
      </c>
      <c r="E10" t="s">
        <v>51</v>
      </c>
      <c r="F10" s="12">
        <v>2</v>
      </c>
      <c r="G10" t="s">
        <v>30</v>
      </c>
      <c r="H10">
        <v>6</v>
      </c>
      <c r="I10" t="s">
        <v>128</v>
      </c>
      <c r="J10">
        <f t="shared" si="4"/>
        <v>12</v>
      </c>
      <c r="K10">
        <f t="shared" si="0"/>
        <v>1.5</v>
      </c>
      <c r="L10" s="5">
        <f t="shared" si="5"/>
        <v>206604</v>
      </c>
      <c r="M10" s="11">
        <f t="shared" si="1"/>
        <v>0.5</v>
      </c>
      <c r="N10" s="5">
        <f t="shared" ref="N10:N47" si="8">(VLOOKUP(G10,$P$2:$W$4,2,FALSE)*(J10/3))+(VLOOKUP(G10,$P$2:$W$4,3,FALSE)*(J10/3))+(VLOOKUP(G10,$P$2:$W$4,5,FALSE)*(J10/3))</f>
        <v>152476</v>
      </c>
      <c r="P10" t="s">
        <v>52</v>
      </c>
      <c r="V10" s="5"/>
    </row>
    <row r="11" spans="1:24" x14ac:dyDescent="0.3">
      <c r="D11" t="s">
        <v>50</v>
      </c>
      <c r="E11" t="s">
        <v>53</v>
      </c>
      <c r="F11" s="12">
        <v>2</v>
      </c>
      <c r="G11" t="s">
        <v>32</v>
      </c>
      <c r="H11">
        <v>6</v>
      </c>
      <c r="I11" t="s">
        <v>129</v>
      </c>
      <c r="J11">
        <f t="shared" si="4"/>
        <v>12</v>
      </c>
      <c r="K11">
        <f t="shared" si="0"/>
        <v>1.5</v>
      </c>
      <c r="L11" s="5">
        <f t="shared" si="5"/>
        <v>84924</v>
      </c>
      <c r="M11" s="11">
        <f t="shared" si="1"/>
        <v>0.5</v>
      </c>
      <c r="N11" s="5">
        <f t="shared" si="8"/>
        <v>68010.823529411762</v>
      </c>
      <c r="P11" t="s">
        <v>54</v>
      </c>
      <c r="Q11" t="s">
        <v>55</v>
      </c>
      <c r="V11" s="5"/>
    </row>
    <row r="12" spans="1:24" x14ac:dyDescent="0.3">
      <c r="D12" t="s">
        <v>50</v>
      </c>
      <c r="E12" t="s">
        <v>56</v>
      </c>
      <c r="F12" s="12">
        <v>2</v>
      </c>
      <c r="G12" t="s">
        <v>32</v>
      </c>
      <c r="H12">
        <v>6</v>
      </c>
      <c r="I12" t="s">
        <v>130</v>
      </c>
      <c r="J12">
        <f t="shared" si="4"/>
        <v>12</v>
      </c>
      <c r="K12">
        <f t="shared" si="0"/>
        <v>1.5</v>
      </c>
      <c r="L12" s="5">
        <f t="shared" si="5"/>
        <v>84924</v>
      </c>
      <c r="M12" s="11">
        <f t="shared" si="1"/>
        <v>0.5</v>
      </c>
      <c r="N12" s="5">
        <f t="shared" si="8"/>
        <v>68010.823529411762</v>
      </c>
      <c r="P12" t="s">
        <v>57</v>
      </c>
      <c r="V12" s="5"/>
    </row>
    <row r="13" spans="1:24" x14ac:dyDescent="0.3">
      <c r="D13" t="s">
        <v>58</v>
      </c>
      <c r="E13" t="s">
        <v>59</v>
      </c>
      <c r="F13" s="12">
        <v>2.5</v>
      </c>
      <c r="G13" t="s">
        <v>30</v>
      </c>
      <c r="H13">
        <v>6</v>
      </c>
      <c r="I13" t="s">
        <v>123</v>
      </c>
      <c r="J13">
        <f t="shared" si="4"/>
        <v>15</v>
      </c>
      <c r="K13">
        <f t="shared" si="0"/>
        <v>1.875</v>
      </c>
      <c r="L13" s="5">
        <f t="shared" si="5"/>
        <v>258255</v>
      </c>
      <c r="M13" s="11">
        <f t="shared" si="1"/>
        <v>0.625</v>
      </c>
      <c r="N13" s="5">
        <f t="shared" si="8"/>
        <v>190595</v>
      </c>
      <c r="P13" t="s">
        <v>60</v>
      </c>
    </row>
    <row r="14" spans="1:24" x14ac:dyDescent="0.3">
      <c r="D14" t="s">
        <v>58</v>
      </c>
      <c r="E14" t="s">
        <v>61</v>
      </c>
      <c r="F14" s="12">
        <v>2.7</v>
      </c>
      <c r="G14" t="s">
        <v>30</v>
      </c>
      <c r="H14">
        <v>2</v>
      </c>
      <c r="I14" t="s">
        <v>127</v>
      </c>
      <c r="J14">
        <f t="shared" si="4"/>
        <v>5.4</v>
      </c>
      <c r="K14">
        <f t="shared" si="0"/>
        <v>0.67500000000000004</v>
      </c>
      <c r="L14" s="5">
        <f t="shared" si="5"/>
        <v>92971.8</v>
      </c>
      <c r="M14" s="11">
        <f t="shared" si="1"/>
        <v>0.22500000000000001</v>
      </c>
      <c r="N14" s="5">
        <f t="shared" si="8"/>
        <v>68614.200000000012</v>
      </c>
    </row>
    <row r="15" spans="1:24" x14ac:dyDescent="0.3">
      <c r="D15" t="s">
        <v>62</v>
      </c>
      <c r="E15" t="s">
        <v>63</v>
      </c>
      <c r="F15" s="12">
        <v>4</v>
      </c>
      <c r="G15" t="s">
        <v>30</v>
      </c>
      <c r="H15">
        <v>12</v>
      </c>
      <c r="I15" t="s">
        <v>129</v>
      </c>
      <c r="J15">
        <f t="shared" si="4"/>
        <v>48</v>
      </c>
      <c r="K15">
        <f t="shared" si="0"/>
        <v>6</v>
      </c>
      <c r="L15" s="5">
        <f t="shared" si="5"/>
        <v>826416</v>
      </c>
      <c r="M15" s="11">
        <f t="shared" si="1"/>
        <v>2</v>
      </c>
      <c r="N15" s="5">
        <f t="shared" si="8"/>
        <v>609904</v>
      </c>
    </row>
    <row r="16" spans="1:24" x14ac:dyDescent="0.3">
      <c r="D16" t="s">
        <v>64</v>
      </c>
      <c r="E16" t="s">
        <v>65</v>
      </c>
      <c r="F16" s="12">
        <v>4</v>
      </c>
      <c r="G16" t="s">
        <v>30</v>
      </c>
      <c r="H16">
        <v>8</v>
      </c>
      <c r="I16" t="s">
        <v>120</v>
      </c>
      <c r="J16">
        <f t="shared" si="4"/>
        <v>32</v>
      </c>
      <c r="K16">
        <f t="shared" si="0"/>
        <v>4</v>
      </c>
      <c r="L16" s="5">
        <f t="shared" si="5"/>
        <v>550944</v>
      </c>
      <c r="M16" s="11">
        <f t="shared" si="1"/>
        <v>1.3333333333333333</v>
      </c>
      <c r="N16" s="5">
        <f t="shared" si="8"/>
        <v>406602.66666666663</v>
      </c>
    </row>
    <row r="17" spans="2:14" x14ac:dyDescent="0.3">
      <c r="D17" t="s">
        <v>64</v>
      </c>
      <c r="E17" t="s">
        <v>66</v>
      </c>
      <c r="F17" s="12">
        <v>5</v>
      </c>
      <c r="G17" t="s">
        <v>30</v>
      </c>
      <c r="H17">
        <v>10</v>
      </c>
      <c r="I17" t="s">
        <v>126</v>
      </c>
      <c r="J17">
        <f t="shared" si="4"/>
        <v>50</v>
      </c>
      <c r="K17">
        <f t="shared" si="0"/>
        <v>6.25</v>
      </c>
      <c r="L17" s="5">
        <f t="shared" si="5"/>
        <v>860850</v>
      </c>
      <c r="M17" s="11">
        <f t="shared" si="1"/>
        <v>2.0833333333333335</v>
      </c>
      <c r="N17" s="5">
        <f t="shared" si="8"/>
        <v>635316.66666666674</v>
      </c>
    </row>
    <row r="18" spans="2:14" x14ac:dyDescent="0.3">
      <c r="D18" t="s">
        <v>64</v>
      </c>
      <c r="E18" t="s">
        <v>67</v>
      </c>
      <c r="F18" s="12">
        <v>8</v>
      </c>
      <c r="G18" t="s">
        <v>30</v>
      </c>
      <c r="H18">
        <v>2</v>
      </c>
      <c r="I18" t="s">
        <v>129</v>
      </c>
      <c r="J18">
        <f t="shared" si="4"/>
        <v>16</v>
      </c>
      <c r="K18">
        <f t="shared" si="0"/>
        <v>2</v>
      </c>
      <c r="L18" s="5">
        <f t="shared" si="5"/>
        <v>275472</v>
      </c>
      <c r="M18" s="11">
        <f t="shared" si="1"/>
        <v>0.66666666666666663</v>
      </c>
      <c r="N18" s="5">
        <f t="shared" si="8"/>
        <v>203301.33333333331</v>
      </c>
    </row>
    <row r="19" spans="2:14" x14ac:dyDescent="0.3">
      <c r="D19" t="s">
        <v>64</v>
      </c>
      <c r="E19" t="s">
        <v>68</v>
      </c>
      <c r="F19" s="12">
        <v>16</v>
      </c>
      <c r="G19" t="s">
        <v>30</v>
      </c>
      <c r="H19">
        <v>6</v>
      </c>
      <c r="I19" t="s">
        <v>126</v>
      </c>
      <c r="J19">
        <f t="shared" si="4"/>
        <v>96</v>
      </c>
      <c r="K19">
        <f t="shared" si="0"/>
        <v>12</v>
      </c>
      <c r="L19" s="5">
        <f t="shared" si="5"/>
        <v>1652832</v>
      </c>
      <c r="M19" s="11">
        <f t="shared" si="1"/>
        <v>4</v>
      </c>
      <c r="N19" s="5">
        <f t="shared" si="8"/>
        <v>1219808</v>
      </c>
    </row>
    <row r="20" spans="2:14" x14ac:dyDescent="0.3">
      <c r="D20" t="s">
        <v>64</v>
      </c>
      <c r="E20" t="s">
        <v>69</v>
      </c>
      <c r="F20" s="12">
        <v>4</v>
      </c>
      <c r="G20" t="s">
        <v>30</v>
      </c>
      <c r="H20">
        <v>8</v>
      </c>
      <c r="I20" t="s">
        <v>131</v>
      </c>
      <c r="J20">
        <f t="shared" si="4"/>
        <v>32</v>
      </c>
      <c r="K20">
        <f t="shared" si="0"/>
        <v>4</v>
      </c>
      <c r="L20" s="5">
        <f t="shared" si="5"/>
        <v>550944</v>
      </c>
      <c r="M20" s="11">
        <f t="shared" si="1"/>
        <v>1.3333333333333333</v>
      </c>
      <c r="N20" s="5">
        <f t="shared" si="8"/>
        <v>406602.66666666663</v>
      </c>
    </row>
    <row r="21" spans="2:14" x14ac:dyDescent="0.3">
      <c r="B21" t="s">
        <v>70</v>
      </c>
      <c r="C21" t="s">
        <v>71</v>
      </c>
      <c r="D21" t="s">
        <v>72</v>
      </c>
      <c r="E21" t="s">
        <v>73</v>
      </c>
      <c r="F21" s="12">
        <v>24</v>
      </c>
      <c r="G21" t="s">
        <v>32</v>
      </c>
      <c r="H21">
        <v>8</v>
      </c>
      <c r="I21" t="s">
        <v>132</v>
      </c>
      <c r="J21">
        <f t="shared" si="4"/>
        <v>192</v>
      </c>
      <c r="K21">
        <f t="shared" si="0"/>
        <v>24</v>
      </c>
      <c r="L21" s="5">
        <f t="shared" si="5"/>
        <v>1358784</v>
      </c>
      <c r="M21" s="11">
        <f t="shared" si="1"/>
        <v>8</v>
      </c>
      <c r="N21" s="5">
        <f t="shared" si="8"/>
        <v>1088173.1764705882</v>
      </c>
    </row>
    <row r="22" spans="2:14" x14ac:dyDescent="0.3">
      <c r="D22" t="s">
        <v>72</v>
      </c>
      <c r="E22" t="s">
        <v>74</v>
      </c>
      <c r="F22" s="12">
        <v>3.5</v>
      </c>
      <c r="G22" t="s">
        <v>32</v>
      </c>
      <c r="H22">
        <v>2</v>
      </c>
      <c r="I22" t="s">
        <v>133</v>
      </c>
      <c r="J22">
        <f t="shared" si="4"/>
        <v>7</v>
      </c>
      <c r="K22">
        <f t="shared" si="0"/>
        <v>0.875</v>
      </c>
      <c r="L22" s="5">
        <f t="shared" si="5"/>
        <v>49539</v>
      </c>
      <c r="M22" s="11">
        <f t="shared" si="1"/>
        <v>0.29166666666666669</v>
      </c>
      <c r="N22" s="5">
        <f t="shared" si="8"/>
        <v>39672.980392156867</v>
      </c>
    </row>
    <row r="23" spans="2:14" x14ac:dyDescent="0.3">
      <c r="D23" t="s">
        <v>72</v>
      </c>
      <c r="E23" t="s">
        <v>75</v>
      </c>
      <c r="F23" s="12">
        <v>5</v>
      </c>
      <c r="G23" t="s">
        <v>32</v>
      </c>
      <c r="H23">
        <v>8</v>
      </c>
      <c r="I23" t="s">
        <v>134</v>
      </c>
      <c r="J23">
        <f t="shared" si="4"/>
        <v>40</v>
      </c>
      <c r="K23">
        <f t="shared" si="0"/>
        <v>5</v>
      </c>
      <c r="L23" s="5">
        <f t="shared" si="5"/>
        <v>283080</v>
      </c>
      <c r="M23" s="11">
        <f t="shared" si="1"/>
        <v>1.6666666666666667</v>
      </c>
      <c r="N23" s="5">
        <f t="shared" si="8"/>
        <v>226702.74509803922</v>
      </c>
    </row>
    <row r="24" spans="2:14" x14ac:dyDescent="0.3">
      <c r="D24" t="s">
        <v>72</v>
      </c>
      <c r="E24" t="s">
        <v>76</v>
      </c>
      <c r="F24" s="12">
        <v>4</v>
      </c>
      <c r="G24" t="s">
        <v>30</v>
      </c>
      <c r="H24">
        <v>2</v>
      </c>
      <c r="I24" t="s">
        <v>135</v>
      </c>
      <c r="J24">
        <f t="shared" si="4"/>
        <v>8</v>
      </c>
      <c r="K24">
        <f t="shared" si="0"/>
        <v>1</v>
      </c>
      <c r="L24" s="5">
        <f t="shared" si="5"/>
        <v>137736</v>
      </c>
      <c r="M24" s="11">
        <f t="shared" si="1"/>
        <v>0.33333333333333331</v>
      </c>
      <c r="N24" s="5">
        <f t="shared" si="8"/>
        <v>101650.66666666666</v>
      </c>
    </row>
    <row r="25" spans="2:14" x14ac:dyDescent="0.3">
      <c r="D25" t="s">
        <v>72</v>
      </c>
      <c r="E25" t="s">
        <v>77</v>
      </c>
      <c r="F25" s="12">
        <v>3</v>
      </c>
      <c r="G25" t="s">
        <v>30</v>
      </c>
      <c r="H25">
        <v>10</v>
      </c>
      <c r="I25" t="s">
        <v>129</v>
      </c>
      <c r="J25">
        <f t="shared" si="4"/>
        <v>30</v>
      </c>
      <c r="K25">
        <f t="shared" si="0"/>
        <v>3.75</v>
      </c>
      <c r="L25" s="5">
        <f t="shared" si="5"/>
        <v>516510</v>
      </c>
      <c r="M25" s="11">
        <f t="shared" si="1"/>
        <v>1.25</v>
      </c>
      <c r="N25" s="5">
        <f t="shared" si="8"/>
        <v>381190</v>
      </c>
    </row>
    <row r="26" spans="2:14" x14ac:dyDescent="0.3">
      <c r="D26" t="s">
        <v>78</v>
      </c>
      <c r="E26" t="s">
        <v>79</v>
      </c>
      <c r="F26" s="12">
        <v>4.5</v>
      </c>
      <c r="G26" t="s">
        <v>32</v>
      </c>
      <c r="H26">
        <v>10</v>
      </c>
      <c r="I26" t="s">
        <v>121</v>
      </c>
      <c r="J26">
        <f t="shared" si="4"/>
        <v>45</v>
      </c>
      <c r="K26">
        <f t="shared" si="0"/>
        <v>5.625</v>
      </c>
      <c r="L26" s="5">
        <f t="shared" si="5"/>
        <v>318465</v>
      </c>
      <c r="M26" s="11">
        <f t="shared" si="1"/>
        <v>1.875</v>
      </c>
      <c r="N26" s="5">
        <f t="shared" si="8"/>
        <v>255040.5882352941</v>
      </c>
    </row>
    <row r="27" spans="2:14" x14ac:dyDescent="0.3">
      <c r="D27" t="s">
        <v>78</v>
      </c>
      <c r="E27" t="s">
        <v>80</v>
      </c>
      <c r="F27" s="12">
        <v>2</v>
      </c>
      <c r="G27" t="s">
        <v>32</v>
      </c>
      <c r="H27">
        <v>10</v>
      </c>
      <c r="I27" t="s">
        <v>126</v>
      </c>
      <c r="J27">
        <f t="shared" si="4"/>
        <v>20</v>
      </c>
      <c r="K27">
        <f t="shared" si="0"/>
        <v>2.5</v>
      </c>
      <c r="L27" s="5">
        <f t="shared" si="5"/>
        <v>141540</v>
      </c>
      <c r="M27" s="11">
        <f t="shared" si="1"/>
        <v>0.83333333333333337</v>
      </c>
      <c r="N27" s="5">
        <f t="shared" si="8"/>
        <v>113351.37254901961</v>
      </c>
    </row>
    <row r="28" spans="2:14" x14ac:dyDescent="0.3">
      <c r="B28" t="s">
        <v>81</v>
      </c>
      <c r="C28" t="s">
        <v>82</v>
      </c>
      <c r="D28" t="s">
        <v>83</v>
      </c>
      <c r="E28" t="s">
        <v>84</v>
      </c>
      <c r="F28" s="12">
        <v>8</v>
      </c>
      <c r="G28" t="s">
        <v>30</v>
      </c>
      <c r="H28">
        <v>10</v>
      </c>
      <c r="I28" t="s">
        <v>128</v>
      </c>
      <c r="J28">
        <f t="shared" si="4"/>
        <v>80</v>
      </c>
      <c r="K28">
        <f t="shared" si="0"/>
        <v>10</v>
      </c>
      <c r="L28" s="5">
        <f t="shared" si="5"/>
        <v>1377360</v>
      </c>
      <c r="M28" s="11">
        <f t="shared" si="1"/>
        <v>3.3333333333333335</v>
      </c>
      <c r="N28" s="5">
        <f t="shared" si="8"/>
        <v>1016506.6666666667</v>
      </c>
    </row>
    <row r="29" spans="2:14" x14ac:dyDescent="0.3">
      <c r="D29" t="s">
        <v>83</v>
      </c>
      <c r="E29" t="s">
        <v>85</v>
      </c>
      <c r="F29" s="12">
        <v>1</v>
      </c>
      <c r="G29" t="s">
        <v>32</v>
      </c>
      <c r="H29">
        <v>30</v>
      </c>
      <c r="I29" t="s">
        <v>132</v>
      </c>
      <c r="J29">
        <f t="shared" si="4"/>
        <v>30</v>
      </c>
      <c r="K29">
        <f t="shared" si="0"/>
        <v>3.75</v>
      </c>
      <c r="L29" s="5">
        <f t="shared" si="5"/>
        <v>212310</v>
      </c>
      <c r="M29" s="11">
        <f t="shared" si="1"/>
        <v>1.25</v>
      </c>
      <c r="N29" s="5">
        <f t="shared" si="8"/>
        <v>170027.0588235294</v>
      </c>
    </row>
    <row r="30" spans="2:14" x14ac:dyDescent="0.3">
      <c r="D30" t="s">
        <v>83</v>
      </c>
      <c r="E30" t="s">
        <v>86</v>
      </c>
      <c r="F30" s="12">
        <v>2</v>
      </c>
      <c r="G30" t="s">
        <v>32</v>
      </c>
      <c r="H30">
        <v>4</v>
      </c>
      <c r="I30" t="s">
        <v>120</v>
      </c>
      <c r="J30">
        <f t="shared" si="4"/>
        <v>8</v>
      </c>
      <c r="K30">
        <f t="shared" si="0"/>
        <v>1</v>
      </c>
      <c r="L30" s="5">
        <f t="shared" si="5"/>
        <v>56616</v>
      </c>
      <c r="M30" s="11">
        <f t="shared" si="1"/>
        <v>0.33333333333333331</v>
      </c>
      <c r="N30" s="5">
        <f t="shared" si="8"/>
        <v>45340.549019607839</v>
      </c>
    </row>
    <row r="31" spans="2:14" x14ac:dyDescent="0.3">
      <c r="D31" t="s">
        <v>83</v>
      </c>
      <c r="E31" t="s">
        <v>87</v>
      </c>
      <c r="F31" s="12">
        <v>6</v>
      </c>
      <c r="G31" t="s">
        <v>30</v>
      </c>
      <c r="H31">
        <v>12</v>
      </c>
      <c r="I31" t="s">
        <v>136</v>
      </c>
      <c r="J31">
        <f t="shared" si="4"/>
        <v>72</v>
      </c>
      <c r="K31">
        <f t="shared" si="0"/>
        <v>9</v>
      </c>
      <c r="L31" s="5">
        <f t="shared" si="5"/>
        <v>1239624</v>
      </c>
      <c r="M31" s="11">
        <f t="shared" si="1"/>
        <v>3</v>
      </c>
      <c r="N31" s="5">
        <f t="shared" si="8"/>
        <v>914856</v>
      </c>
    </row>
    <row r="32" spans="2:14" x14ac:dyDescent="0.3">
      <c r="D32" t="s">
        <v>83</v>
      </c>
      <c r="E32" t="s">
        <v>88</v>
      </c>
      <c r="F32" s="12">
        <v>2</v>
      </c>
      <c r="G32" t="s">
        <v>32</v>
      </c>
      <c r="H32">
        <v>8</v>
      </c>
      <c r="I32" t="s">
        <v>137</v>
      </c>
      <c r="J32">
        <f t="shared" si="4"/>
        <v>16</v>
      </c>
      <c r="K32">
        <f t="shared" si="0"/>
        <v>2</v>
      </c>
      <c r="L32" s="5">
        <f t="shared" si="5"/>
        <v>113232</v>
      </c>
      <c r="M32" s="11">
        <f t="shared" si="1"/>
        <v>0.66666666666666663</v>
      </c>
      <c r="N32" s="5">
        <f t="shared" si="8"/>
        <v>90681.098039215678</v>
      </c>
    </row>
    <row r="33" spans="1:14" x14ac:dyDescent="0.3">
      <c r="D33" t="s">
        <v>83</v>
      </c>
      <c r="E33" t="s">
        <v>89</v>
      </c>
      <c r="F33" s="12">
        <v>3</v>
      </c>
      <c r="G33" t="s">
        <v>30</v>
      </c>
      <c r="H33">
        <v>8</v>
      </c>
      <c r="I33" t="s">
        <v>138</v>
      </c>
      <c r="J33">
        <f t="shared" si="4"/>
        <v>24</v>
      </c>
      <c r="K33">
        <f t="shared" si="0"/>
        <v>3</v>
      </c>
      <c r="L33" s="5">
        <f t="shared" si="5"/>
        <v>413208</v>
      </c>
      <c r="M33" s="11">
        <f t="shared" si="1"/>
        <v>1</v>
      </c>
      <c r="N33" s="5">
        <f t="shared" si="8"/>
        <v>304952</v>
      </c>
    </row>
    <row r="34" spans="1:14" x14ac:dyDescent="0.3">
      <c r="B34" t="s">
        <v>90</v>
      </c>
      <c r="C34" t="s">
        <v>91</v>
      </c>
      <c r="D34" t="s">
        <v>92</v>
      </c>
      <c r="E34" t="s">
        <v>93</v>
      </c>
      <c r="F34" s="12">
        <v>6</v>
      </c>
      <c r="G34" t="s">
        <v>30</v>
      </c>
      <c r="H34">
        <v>2</v>
      </c>
      <c r="I34" t="s">
        <v>139</v>
      </c>
      <c r="J34">
        <f t="shared" si="4"/>
        <v>12</v>
      </c>
      <c r="K34">
        <f t="shared" si="0"/>
        <v>1.5</v>
      </c>
      <c r="L34" s="5">
        <f t="shared" si="5"/>
        <v>206604</v>
      </c>
      <c r="M34" s="11">
        <f t="shared" si="1"/>
        <v>0.5</v>
      </c>
      <c r="N34" s="5">
        <f t="shared" si="8"/>
        <v>152476</v>
      </c>
    </row>
    <row r="35" spans="1:14" x14ac:dyDescent="0.3">
      <c r="D35" t="s">
        <v>92</v>
      </c>
      <c r="E35" t="s">
        <v>94</v>
      </c>
      <c r="F35" s="12">
        <v>5</v>
      </c>
      <c r="G35" t="s">
        <v>30</v>
      </c>
      <c r="H35">
        <v>2</v>
      </c>
      <c r="I35" t="s">
        <v>140</v>
      </c>
      <c r="J35">
        <f t="shared" si="4"/>
        <v>10</v>
      </c>
      <c r="K35">
        <f t="shared" si="0"/>
        <v>1.25</v>
      </c>
      <c r="L35" s="5">
        <f t="shared" si="5"/>
        <v>172170</v>
      </c>
      <c r="M35" s="11">
        <f t="shared" si="1"/>
        <v>0.41666666666666669</v>
      </c>
      <c r="N35" s="5">
        <f t="shared" si="8"/>
        <v>127063.33333333334</v>
      </c>
    </row>
    <row r="36" spans="1:14" x14ac:dyDescent="0.3">
      <c r="D36" t="s">
        <v>92</v>
      </c>
      <c r="E36" t="s">
        <v>95</v>
      </c>
      <c r="F36" s="12">
        <v>3</v>
      </c>
      <c r="G36" t="s">
        <v>30</v>
      </c>
      <c r="H36">
        <v>8</v>
      </c>
      <c r="I36" t="s">
        <v>141</v>
      </c>
      <c r="J36">
        <f t="shared" si="4"/>
        <v>24</v>
      </c>
      <c r="K36">
        <f t="shared" si="0"/>
        <v>3</v>
      </c>
      <c r="L36" s="5">
        <f t="shared" si="5"/>
        <v>413208</v>
      </c>
      <c r="M36" s="11">
        <f t="shared" si="1"/>
        <v>1</v>
      </c>
      <c r="N36" s="5">
        <f t="shared" si="8"/>
        <v>304952</v>
      </c>
    </row>
    <row r="37" spans="1:14" x14ac:dyDescent="0.3">
      <c r="D37" t="s">
        <v>92</v>
      </c>
      <c r="E37" t="s">
        <v>96</v>
      </c>
      <c r="F37" s="12">
        <v>2</v>
      </c>
      <c r="G37" t="s">
        <v>30</v>
      </c>
      <c r="H37">
        <v>8</v>
      </c>
      <c r="I37" t="s">
        <v>126</v>
      </c>
      <c r="J37">
        <f t="shared" si="4"/>
        <v>16</v>
      </c>
      <c r="K37">
        <f t="shared" si="0"/>
        <v>2</v>
      </c>
      <c r="L37" s="5">
        <f t="shared" si="5"/>
        <v>275472</v>
      </c>
      <c r="M37" s="11">
        <f t="shared" si="1"/>
        <v>0.66666666666666663</v>
      </c>
      <c r="N37" s="5">
        <f t="shared" si="8"/>
        <v>203301.33333333331</v>
      </c>
    </row>
    <row r="38" spans="1:14" x14ac:dyDescent="0.3">
      <c r="D38" t="s">
        <v>97</v>
      </c>
      <c r="E38" t="s">
        <v>98</v>
      </c>
      <c r="F38" s="12">
        <v>12</v>
      </c>
      <c r="G38" t="s">
        <v>30</v>
      </c>
      <c r="H38">
        <v>2</v>
      </c>
      <c r="I38" t="s">
        <v>132</v>
      </c>
      <c r="J38">
        <f t="shared" si="4"/>
        <v>24</v>
      </c>
      <c r="K38">
        <f t="shared" si="0"/>
        <v>3</v>
      </c>
      <c r="L38" s="5">
        <f t="shared" si="5"/>
        <v>413208</v>
      </c>
      <c r="M38" s="11">
        <f t="shared" si="1"/>
        <v>1</v>
      </c>
      <c r="N38" s="5">
        <f t="shared" si="8"/>
        <v>304952</v>
      </c>
    </row>
    <row r="39" spans="1:14" x14ac:dyDescent="0.3">
      <c r="B39" t="s">
        <v>99</v>
      </c>
      <c r="C39" t="s">
        <v>100</v>
      </c>
      <c r="D39" t="s">
        <v>101</v>
      </c>
      <c r="E39" t="s">
        <v>102</v>
      </c>
      <c r="F39" s="12">
        <v>6</v>
      </c>
      <c r="G39" t="s">
        <v>30</v>
      </c>
      <c r="H39">
        <v>8</v>
      </c>
      <c r="I39" t="s">
        <v>129</v>
      </c>
      <c r="J39">
        <f t="shared" si="4"/>
        <v>48</v>
      </c>
      <c r="K39">
        <f t="shared" si="0"/>
        <v>6</v>
      </c>
      <c r="L39" s="5">
        <f t="shared" si="5"/>
        <v>826416</v>
      </c>
      <c r="M39" s="11">
        <f t="shared" si="1"/>
        <v>2</v>
      </c>
      <c r="N39" s="5">
        <f t="shared" si="8"/>
        <v>609904</v>
      </c>
    </row>
    <row r="40" spans="1:14" x14ac:dyDescent="0.3">
      <c r="D40" t="s">
        <v>101</v>
      </c>
      <c r="E40" t="s">
        <v>103</v>
      </c>
      <c r="F40" s="12">
        <v>4</v>
      </c>
      <c r="G40" t="s">
        <v>30</v>
      </c>
      <c r="H40">
        <v>8</v>
      </c>
      <c r="I40" t="s">
        <v>128</v>
      </c>
      <c r="J40">
        <f t="shared" si="4"/>
        <v>32</v>
      </c>
      <c r="K40">
        <f t="shared" si="0"/>
        <v>4</v>
      </c>
      <c r="L40" s="5">
        <f t="shared" si="5"/>
        <v>550944</v>
      </c>
      <c r="M40" s="11">
        <f t="shared" si="1"/>
        <v>1.3333333333333333</v>
      </c>
      <c r="N40" s="5">
        <f t="shared" si="8"/>
        <v>406602.66666666663</v>
      </c>
    </row>
    <row r="41" spans="1:14" x14ac:dyDescent="0.3">
      <c r="D41" t="s">
        <v>101</v>
      </c>
      <c r="E41" t="s">
        <v>104</v>
      </c>
      <c r="F41" s="12">
        <v>5</v>
      </c>
      <c r="G41" t="s">
        <v>30</v>
      </c>
      <c r="H41">
        <v>8</v>
      </c>
      <c r="I41" t="s">
        <v>120</v>
      </c>
      <c r="J41">
        <f t="shared" si="4"/>
        <v>40</v>
      </c>
      <c r="K41">
        <f t="shared" si="0"/>
        <v>5</v>
      </c>
      <c r="L41" s="5">
        <f t="shared" si="5"/>
        <v>688680</v>
      </c>
      <c r="M41" s="11">
        <f t="shared" si="1"/>
        <v>1.6666666666666667</v>
      </c>
      <c r="N41" s="5">
        <f t="shared" si="8"/>
        <v>508253.33333333337</v>
      </c>
    </row>
    <row r="42" spans="1:14" x14ac:dyDescent="0.3">
      <c r="D42" t="s">
        <v>105</v>
      </c>
      <c r="E42" t="s">
        <v>106</v>
      </c>
      <c r="F42" s="12">
        <v>3</v>
      </c>
      <c r="G42" t="s">
        <v>30</v>
      </c>
      <c r="H42">
        <v>8</v>
      </c>
      <c r="I42" t="s">
        <v>138</v>
      </c>
      <c r="J42">
        <f t="shared" si="4"/>
        <v>24</v>
      </c>
      <c r="K42">
        <f t="shared" si="0"/>
        <v>3</v>
      </c>
      <c r="L42" s="5">
        <f t="shared" si="5"/>
        <v>413208</v>
      </c>
      <c r="M42" s="11">
        <f>J42/24</f>
        <v>1</v>
      </c>
      <c r="N42" s="5">
        <f t="shared" si="8"/>
        <v>304952</v>
      </c>
    </row>
    <row r="43" spans="1:14" x14ac:dyDescent="0.3">
      <c r="B43" t="s">
        <v>107</v>
      </c>
      <c r="C43" t="s">
        <v>108</v>
      </c>
      <c r="D43" t="s">
        <v>109</v>
      </c>
      <c r="E43" t="s">
        <v>110</v>
      </c>
      <c r="F43" s="12">
        <v>16</v>
      </c>
      <c r="G43" t="s">
        <v>30</v>
      </c>
      <c r="H43">
        <v>2</v>
      </c>
      <c r="I43" t="s">
        <v>122</v>
      </c>
      <c r="J43">
        <f t="shared" si="4"/>
        <v>32</v>
      </c>
      <c r="K43">
        <f t="shared" si="0"/>
        <v>4</v>
      </c>
      <c r="L43" s="5">
        <f t="shared" si="5"/>
        <v>550944</v>
      </c>
      <c r="M43" s="11">
        <f t="shared" si="1"/>
        <v>1.3333333333333333</v>
      </c>
      <c r="N43" s="5">
        <f t="shared" si="8"/>
        <v>406602.66666666663</v>
      </c>
    </row>
    <row r="44" spans="1:14" x14ac:dyDescent="0.3">
      <c r="D44" t="s">
        <v>109</v>
      </c>
      <c r="E44" t="s">
        <v>111</v>
      </c>
      <c r="F44" s="12">
        <v>8</v>
      </c>
      <c r="G44" t="s">
        <v>30</v>
      </c>
      <c r="H44">
        <v>8</v>
      </c>
      <c r="I44" t="s">
        <v>123</v>
      </c>
      <c r="J44">
        <f t="shared" si="4"/>
        <v>64</v>
      </c>
      <c r="K44">
        <f t="shared" si="0"/>
        <v>8</v>
      </c>
      <c r="L44" s="5">
        <f t="shared" si="5"/>
        <v>1101888</v>
      </c>
      <c r="M44" s="11">
        <f t="shared" si="1"/>
        <v>2.6666666666666665</v>
      </c>
      <c r="N44" s="5">
        <f t="shared" si="8"/>
        <v>813205.33333333326</v>
      </c>
    </row>
    <row r="45" spans="1:14" x14ac:dyDescent="0.3">
      <c r="D45" t="s">
        <v>109</v>
      </c>
      <c r="E45" t="s">
        <v>112</v>
      </c>
      <c r="F45" s="12">
        <v>8</v>
      </c>
      <c r="G45" t="s">
        <v>30</v>
      </c>
      <c r="H45">
        <v>2</v>
      </c>
      <c r="I45" t="s">
        <v>142</v>
      </c>
      <c r="J45">
        <f t="shared" si="4"/>
        <v>16</v>
      </c>
      <c r="K45">
        <f t="shared" si="0"/>
        <v>2</v>
      </c>
      <c r="L45" s="5">
        <f t="shared" si="5"/>
        <v>275472</v>
      </c>
      <c r="M45" s="11">
        <f t="shared" si="1"/>
        <v>0.66666666666666663</v>
      </c>
      <c r="N45" s="5">
        <f t="shared" si="8"/>
        <v>203301.33333333331</v>
      </c>
    </row>
    <row r="46" spans="1:14" x14ac:dyDescent="0.3">
      <c r="D46" t="s">
        <v>107</v>
      </c>
      <c r="E46" t="s">
        <v>113</v>
      </c>
      <c r="F46" s="12">
        <v>16</v>
      </c>
      <c r="G46" t="s">
        <v>30</v>
      </c>
      <c r="H46">
        <v>8</v>
      </c>
      <c r="I46" t="s">
        <v>143</v>
      </c>
      <c r="J46">
        <f t="shared" si="4"/>
        <v>128</v>
      </c>
      <c r="K46">
        <f t="shared" si="0"/>
        <v>16</v>
      </c>
      <c r="L46" s="5">
        <f t="shared" si="5"/>
        <v>2203776</v>
      </c>
      <c r="M46" s="11">
        <f t="shared" si="1"/>
        <v>5.333333333333333</v>
      </c>
      <c r="N46" s="5">
        <f t="shared" si="8"/>
        <v>1626410.6666666665</v>
      </c>
    </row>
    <row r="47" spans="1:14" x14ac:dyDescent="0.3">
      <c r="A47" s="13"/>
      <c r="B47" s="13"/>
      <c r="C47" s="13"/>
      <c r="D47" s="13" t="s">
        <v>107</v>
      </c>
      <c r="E47" s="13" t="s">
        <v>114</v>
      </c>
      <c r="F47" s="14">
        <v>40</v>
      </c>
      <c r="G47" s="13" t="s">
        <v>30</v>
      </c>
      <c r="H47" s="13">
        <v>8</v>
      </c>
      <c r="I47" s="13" t="s">
        <v>144</v>
      </c>
      <c r="J47" s="13">
        <f t="shared" si="4"/>
        <v>320</v>
      </c>
      <c r="K47" s="13">
        <f t="shared" si="0"/>
        <v>40</v>
      </c>
      <c r="L47" s="15">
        <f t="shared" si="5"/>
        <v>5509440</v>
      </c>
      <c r="M47" s="16">
        <f t="shared" si="1"/>
        <v>13.333333333333334</v>
      </c>
      <c r="N47" s="15">
        <f t="shared" si="8"/>
        <v>4066026.666666667</v>
      </c>
    </row>
    <row r="48" spans="1:14" x14ac:dyDescent="0.3">
      <c r="K48" t="s">
        <v>117</v>
      </c>
      <c r="L48" s="17">
        <f>SUM(L2:L47)</f>
        <v>29544935.800000001</v>
      </c>
      <c r="N48" s="17">
        <f>SUM(N2:N47)</f>
        <v>22049909.555119827</v>
      </c>
    </row>
    <row r="49" spans="11:14" x14ac:dyDescent="0.3">
      <c r="K49" t="s">
        <v>124</v>
      </c>
      <c r="L49" s="9">
        <f>L48*1.68</f>
        <v>49635492.144000001</v>
      </c>
      <c r="N49" s="9">
        <f>N48*1.68</f>
        <v>37043848.052601308</v>
      </c>
    </row>
    <row r="50" spans="11:14" x14ac:dyDescent="0.3">
      <c r="N50" s="9">
        <f>L48-N48</f>
        <v>7495026.2448801734</v>
      </c>
    </row>
    <row r="51" spans="11:14" x14ac:dyDescent="0.3">
      <c r="K51" s="8"/>
    </row>
  </sheetData>
  <conditionalFormatting sqref="Q5:W5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2D2A-13CD-4500-A597-74D79444049D}">
  <dimension ref="A1:J13"/>
  <sheetViews>
    <sheetView workbookViewId="0">
      <selection activeCell="C2" sqref="C2"/>
    </sheetView>
  </sheetViews>
  <sheetFormatPr baseColWidth="10" defaultColWidth="11.44140625" defaultRowHeight="14.4" x14ac:dyDescent="0.3"/>
  <cols>
    <col min="2" max="2" width="28.88671875" bestFit="1" customWidth="1"/>
  </cols>
  <sheetData>
    <row r="1" spans="1:10" x14ac:dyDescent="0.3">
      <c r="A1" t="s">
        <v>115</v>
      </c>
      <c r="B1" t="s">
        <v>116</v>
      </c>
      <c r="C1" t="s">
        <v>24</v>
      </c>
      <c r="D1" t="s">
        <v>71</v>
      </c>
      <c r="E1" t="s">
        <v>49</v>
      </c>
      <c r="F1" t="s">
        <v>82</v>
      </c>
      <c r="G1" t="s">
        <v>91</v>
      </c>
      <c r="H1" t="s">
        <v>100</v>
      </c>
      <c r="I1" t="s">
        <v>108</v>
      </c>
      <c r="J1" t="s">
        <v>117</v>
      </c>
    </row>
    <row r="2" spans="1:10" x14ac:dyDescent="0.3">
      <c r="A2">
        <v>23232</v>
      </c>
      <c r="B2" t="s">
        <v>118</v>
      </c>
      <c r="C2">
        <v>4</v>
      </c>
      <c r="D2">
        <v>4</v>
      </c>
      <c r="E2">
        <v>2</v>
      </c>
      <c r="F2">
        <v>2</v>
      </c>
    </row>
    <row r="3" spans="1:10" x14ac:dyDescent="0.3">
      <c r="A3">
        <v>23233</v>
      </c>
      <c r="B3" t="s">
        <v>118</v>
      </c>
      <c r="C3">
        <v>50000</v>
      </c>
    </row>
    <row r="4" spans="1:10" x14ac:dyDescent="0.3">
      <c r="A4">
        <v>23234</v>
      </c>
      <c r="B4" t="s">
        <v>118</v>
      </c>
    </row>
    <row r="5" spans="1:10" x14ac:dyDescent="0.3">
      <c r="A5">
        <v>23235</v>
      </c>
      <c r="B5" t="s">
        <v>118</v>
      </c>
    </row>
    <row r="6" spans="1:10" x14ac:dyDescent="0.3">
      <c r="A6">
        <v>23236</v>
      </c>
      <c r="B6" t="s">
        <v>118</v>
      </c>
    </row>
    <row r="7" spans="1:10" x14ac:dyDescent="0.3">
      <c r="A7">
        <v>23237</v>
      </c>
      <c r="B7" t="s">
        <v>118</v>
      </c>
    </row>
    <row r="8" spans="1:10" x14ac:dyDescent="0.3">
      <c r="A8">
        <v>23238</v>
      </c>
      <c r="B8" t="s">
        <v>118</v>
      </c>
    </row>
    <row r="9" spans="1:10" x14ac:dyDescent="0.3">
      <c r="A9">
        <v>23239</v>
      </c>
      <c r="B9" t="s">
        <v>118</v>
      </c>
    </row>
    <row r="10" spans="1:10" x14ac:dyDescent="0.3">
      <c r="A10">
        <v>23240</v>
      </c>
      <c r="B10" t="s">
        <v>118</v>
      </c>
    </row>
    <row r="11" spans="1:10" x14ac:dyDescent="0.3">
      <c r="A11">
        <v>23241</v>
      </c>
      <c r="B11" t="s">
        <v>118</v>
      </c>
    </row>
    <row r="12" spans="1:10" x14ac:dyDescent="0.3">
      <c r="A12">
        <v>23242</v>
      </c>
      <c r="B12" t="s">
        <v>118</v>
      </c>
    </row>
    <row r="13" spans="1:10" x14ac:dyDescent="0.3">
      <c r="A13">
        <v>23243</v>
      </c>
      <c r="B13" t="s">
        <v>118</v>
      </c>
    </row>
  </sheetData>
  <sortState xmlns:xlrd2="http://schemas.microsoft.com/office/spreadsheetml/2017/richdata2" ref="C1:C46">
    <sortCondition ref="C1:C4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6329-831C-4903-8007-AAD99C813ED4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MODELO ESTIMACION</vt:lpstr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Harold Adrian Bolaños Rodriguez</dc:creator>
  <cp:keywords/>
  <dc:description/>
  <cp:lastModifiedBy>Andres Felipe Muñoz</cp:lastModifiedBy>
  <cp:revision/>
  <dcterms:created xsi:type="dcterms:W3CDTF">2020-11-04T23:31:45Z</dcterms:created>
  <dcterms:modified xsi:type="dcterms:W3CDTF">2020-11-19T01:59:08Z</dcterms:modified>
  <cp:category/>
  <cp:contentStatus/>
</cp:coreProperties>
</file>